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211"/>
  <workbookPr showInkAnnotation="0" autoCompressPictures="0"/>
  <mc:AlternateContent xmlns:mc="http://schemas.openxmlformats.org/markup-compatibility/2006">
    <mc:Choice Requires="x15">
      <x15ac:absPath xmlns:x15ac="http://schemas.microsoft.com/office/spreadsheetml/2010/11/ac" url="/Users/pascal/Dropbox (Brown)/research/iccv/data/completion/"/>
    </mc:Choice>
  </mc:AlternateContent>
  <xr:revisionPtr revIDLastSave="0" documentId="13_ncr:1_{7A876368-8ED5-074E-A504-ED67C5438753}" xr6:coauthVersionLast="47" xr6:coauthVersionMax="47" xr10:uidLastSave="{00000000-0000-0000-0000-000000000000}"/>
  <bookViews>
    <workbookView xWindow="20" yWindow="0" windowWidth="25580" windowHeight="16000" tabRatio="500" activeTab="1" xr2:uid="{00000000-000D-0000-FFFF-FFFF00000000}"/>
  </bookViews>
  <sheets>
    <sheet name="Readme" sheetId="15" state="hidden" r:id="rId1"/>
    <sheet name="Results of metastudies" sheetId="6" r:id="rId2"/>
  </sheets>
  <definedNames>
    <definedName name="_xlnm.Database">#REF!</definedName>
    <definedName name="_xlnm.Print_Area" localSheetId="1">#REF!</definedName>
  </definedNames>
  <calcPr calcId="191029"/>
  <extLst>
    <ext xmlns:xcalcf="http://schemas.microsoft.com/office/spreadsheetml/2018/calcfeatures" uri="{B58B0392-4F1F-4190-BB64-5DF3571DCE5F}">
      <xcalcf:calcFeatures>
        <xcalcf:feature name="microsoft.com:RD"/>
        <xcalcf:feature name="microsoft.com:FV"/>
        <xcalcf:feature name="microsoft.com:LE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V5" i="6" l="1"/>
  <c r="V6" i="6"/>
  <c r="V7" i="6"/>
  <c r="V8" i="6"/>
  <c r="V9" i="6"/>
  <c r="V10" i="6"/>
  <c r="V11" i="6"/>
  <c r="V12" i="6"/>
  <c r="V13" i="6"/>
  <c r="V14" i="6"/>
  <c r="V15" i="6"/>
  <c r="V16" i="6"/>
  <c r="V17" i="6"/>
  <c r="V18" i="6"/>
  <c r="V19" i="6"/>
  <c r="V4" i="6"/>
  <c r="V20" i="6" s="1"/>
  <c r="W5" i="6"/>
  <c r="W6" i="6"/>
  <c r="W7" i="6"/>
  <c r="W8" i="6"/>
  <c r="W9" i="6"/>
  <c r="W10" i="6"/>
  <c r="W11" i="6"/>
  <c r="W12" i="6"/>
  <c r="W13" i="6"/>
  <c r="W14" i="6"/>
  <c r="W15" i="6"/>
  <c r="W16" i="6"/>
  <c r="W17" i="6"/>
  <c r="W18" i="6"/>
  <c r="W19" i="6"/>
  <c r="W4" i="6"/>
  <c r="U20" i="6"/>
  <c r="R20" i="6"/>
  <c r="T20" i="6"/>
  <c r="S20" i="6"/>
  <c r="Q5" i="6"/>
  <c r="Q16" i="6"/>
  <c r="P20" i="6"/>
  <c r="M20" i="6"/>
  <c r="I16" i="6"/>
  <c r="O16" i="6" s="1"/>
  <c r="I4" i="6"/>
  <c r="N4" i="6" s="1"/>
  <c r="F19" i="6"/>
  <c r="G19" i="6" s="1"/>
  <c r="I19" i="6" s="1"/>
  <c r="O19" i="6" s="1"/>
  <c r="Q19" i="6" s="1"/>
  <c r="G17" i="6"/>
  <c r="I17" i="6" s="1"/>
  <c r="N17" i="6" s="1"/>
  <c r="G16" i="6"/>
  <c r="G14" i="6"/>
  <c r="I14" i="6" s="1"/>
  <c r="G13" i="6"/>
  <c r="I13" i="6" s="1"/>
  <c r="G10" i="6"/>
  <c r="I10" i="6" s="1"/>
  <c r="G9" i="6"/>
  <c r="I9" i="6" s="1"/>
  <c r="O9" i="6" s="1"/>
  <c r="Q9" i="6" s="1"/>
  <c r="G8" i="6"/>
  <c r="I8" i="6" s="1"/>
  <c r="G18" i="6"/>
  <c r="I18" i="6" s="1"/>
  <c r="N18" i="6" s="1"/>
  <c r="G15" i="6"/>
  <c r="I15" i="6" s="1"/>
  <c r="N15" i="6" s="1"/>
  <c r="G12" i="6"/>
  <c r="I12" i="6" s="1"/>
  <c r="N12" i="6" s="1"/>
  <c r="G11" i="6"/>
  <c r="I11" i="6" s="1"/>
  <c r="N11" i="6" s="1"/>
  <c r="G7" i="6"/>
  <c r="I7" i="6" s="1"/>
  <c r="G6" i="6"/>
  <c r="I6" i="6" s="1"/>
  <c r="G5" i="6"/>
  <c r="I5" i="6" s="1"/>
  <c r="O5" i="6" s="1"/>
  <c r="H20" i="6"/>
  <c r="J20" i="6"/>
  <c r="K20" i="6"/>
  <c r="W20" i="6" l="1"/>
  <c r="F20" i="6"/>
  <c r="O12" i="6"/>
  <c r="Q12" i="6" s="1"/>
  <c r="O14" i="6"/>
  <c r="Q14" i="6" s="1"/>
  <c r="N14" i="6"/>
  <c r="O7" i="6"/>
  <c r="Q7" i="6" s="1"/>
  <c r="N7" i="6"/>
  <c r="O13" i="6"/>
  <c r="Q13" i="6" s="1"/>
  <c r="N13" i="6"/>
  <c r="O8" i="6"/>
  <c r="Q8" i="6" s="1"/>
  <c r="N8" i="6"/>
  <c r="N6" i="6"/>
  <c r="O6" i="6"/>
  <c r="Q6" i="6" s="1"/>
  <c r="N10" i="6"/>
  <c r="O10" i="6"/>
  <c r="Q10" i="6" s="1"/>
  <c r="O17" i="6"/>
  <c r="Q17" i="6" s="1"/>
  <c r="N16" i="6"/>
  <c r="N9" i="6"/>
  <c r="N20" i="6" s="1"/>
  <c r="O11" i="6"/>
  <c r="N19" i="6"/>
  <c r="O4" i="6"/>
  <c r="N5" i="6"/>
  <c r="O15" i="6"/>
  <c r="Q15" i="6" s="1"/>
  <c r="O18" i="6"/>
  <c r="Q18" i="6" s="1"/>
  <c r="I20" i="6"/>
  <c r="V24" i="6" s="1"/>
  <c r="K21" i="6"/>
  <c r="G20" i="6"/>
  <c r="H21" i="6" s="1"/>
  <c r="T24" i="6" l="1"/>
  <c r="U24" i="6"/>
  <c r="O20" i="6"/>
  <c r="Q4" i="6"/>
  <c r="M24" i="6"/>
  <c r="O24" i="6"/>
  <c r="Q11" i="6"/>
  <c r="P24" i="6"/>
  <c r="Q20" i="6" l="1"/>
  <c r="U26" i="6"/>
  <c r="Q24" i="6"/>
  <c r="T26" i="6" l="1"/>
  <c r="V26" i="6"/>
</calcChain>
</file>

<file path=xl/sharedStrings.xml><?xml version="1.0" encoding="utf-8"?>
<sst xmlns="http://schemas.openxmlformats.org/spreadsheetml/2006/main" count="69" uniqueCount="54">
  <si>
    <t>http://www.boj.or.jp/en/research/o_survey/index.htm/</t>
  </si>
  <si>
    <t>Description of spreadsheets</t>
  </si>
  <si>
    <t>Disaggregated results</t>
  </si>
  <si>
    <t>This sheet contains results from 61 waves of the Opinion Survey on the General Public's Views and Behavior conducted by the Bank of Japan between 2001 and 2017. The results were inputted by hand from PDF files, for which permalinks are provided.</t>
  </si>
  <si>
    <t xml:space="preserve">Source:  </t>
  </si>
  <si>
    <t>Description:</t>
  </si>
  <si>
    <t>Table 4</t>
  </si>
  <si>
    <t>This sheet aggregates the results from the  61 waves of the Opinion Survey on the General Public's Views and Behavior to create the summary statistics presented in table 4.</t>
  </si>
  <si>
    <t>Systematic Review of the Empirical Evidence of Study Publication Bias and Outcome Reporting Bias</t>
  </si>
  <si>
    <t>Figure</t>
  </si>
  <si>
    <t>Source:</t>
  </si>
  <si>
    <t>Chan et al (2004b)</t>
  </si>
  <si>
    <t>Metastudy</t>
  </si>
  <si>
    <t>Start year</t>
  </si>
  <si>
    <t>End year</t>
  </si>
  <si>
    <t>Approved</t>
  </si>
  <si>
    <t>Never started</t>
  </si>
  <si>
    <t>Ongoing</t>
  </si>
  <si>
    <t>Stopped early without analysis</t>
  </si>
  <si>
    <t>Stopped early with analysis</t>
  </si>
  <si>
    <t>With survey response</t>
  </si>
  <si>
    <t>Appeared in literature</t>
  </si>
  <si>
    <t>Easterbrook (1991)</t>
  </si>
  <si>
    <t>Studies in metastudy</t>
  </si>
  <si>
    <t>Studies  with survey response</t>
  </si>
  <si>
    <t>Dickersin (1992)</t>
  </si>
  <si>
    <t>Dickersin (1993)</t>
  </si>
  <si>
    <t>Cooper (1997)</t>
  </si>
  <si>
    <t>Stern (1997)</t>
  </si>
  <si>
    <t>Wormald (1997)</t>
  </si>
  <si>
    <t>Ioannidis (1998)</t>
  </si>
  <si>
    <t>Pich (2003)</t>
  </si>
  <si>
    <t>Cronin (2004)</t>
  </si>
  <si>
    <t>Decullier (2005)</t>
  </si>
  <si>
    <t>Decullier (2006)</t>
  </si>
  <si>
    <t>Hahn (2002)</t>
  </si>
  <si>
    <t>Chan (2004a)</t>
  </si>
  <si>
    <t>Ghersi (2006)</t>
  </si>
  <si>
    <t>von Elm (2008)</t>
  </si>
  <si>
    <t>NA</t>
  </si>
  <si>
    <t>Total Stopped Early</t>
  </si>
  <si>
    <t>Total</t>
  </si>
  <si>
    <t>With information:</t>
  </si>
  <si>
    <t>No information</t>
  </si>
  <si>
    <t>Included</t>
  </si>
  <si>
    <t>With information</t>
  </si>
  <si>
    <t>Share of never started</t>
  </si>
  <si>
    <t>Totals/averages:</t>
  </si>
  <si>
    <t>Started</t>
  </si>
  <si>
    <t>Stopped</t>
  </si>
  <si>
    <t>Share of studies with information:</t>
  </si>
  <si>
    <t>Share of studies that stopped:</t>
  </si>
  <si>
    <t>Completed (survey)</t>
  </si>
  <si>
    <t>Total completed (survey + literature)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</si>
</sst>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0.0%"/>
  </numFmts>
  <fonts count="12" x14ac:knownFonts="1">
    <font>
      <sz val="12"/>
      <color theme="1"/>
      <name val="Calibri"/>
      <family val="2"/>
      <scheme val="minor"/>
    </font>
    <font>
      <sz val="12"/>
      <color theme="1"/>
      <name val="Calibri"/>
      <family val="2"/>
      <charset val="129"/>
      <scheme val="minor"/>
    </font>
    <font>
      <u/>
      <sz val="12"/>
      <color theme="10"/>
      <name val="Calibri"/>
      <family val="2"/>
      <charset val="238"/>
      <scheme val="minor"/>
    </font>
    <font>
      <u/>
      <sz val="12"/>
      <color theme="11"/>
      <name val="Calibri"/>
      <family val="2"/>
      <charset val="238"/>
      <scheme val="minor"/>
    </font>
    <font>
      <sz val="10"/>
      <name val="Arial"/>
      <family val="2"/>
    </font>
    <font>
      <sz val="11"/>
      <color theme="1"/>
      <name val="Calibri"/>
      <family val="2"/>
      <scheme val="minor"/>
    </font>
    <font>
      <sz val="11"/>
      <name val="Times New Roman"/>
      <family val="1"/>
    </font>
    <font>
      <sz val="8"/>
      <name val="Calibri"/>
      <family val="2"/>
      <scheme val="minor"/>
    </font>
    <font>
      <sz val="12"/>
      <color theme="1"/>
      <name val="Helvetica Neue"/>
      <family val="2"/>
    </font>
    <font>
      <b/>
      <sz val="12"/>
      <color theme="1"/>
      <name val="Helvetica Neue"/>
      <family val="2"/>
    </font>
    <font>
      <b/>
      <sz val="14"/>
      <color theme="1"/>
      <name val="Calibri"/>
      <family val="2"/>
      <scheme val="minor"/>
    </font>
    <font>
      <sz val="12"/>
      <color theme="1"/>
      <name val="Calibri"/>
      <family val="2"/>
      <scheme val="minor"/>
    </font>
  </fonts>
  <fills count="4">
    <fill>
      <patternFill patternType="none"/>
    </fill>
    <fill>
      <patternFill patternType="gray125"/>
    </fill>
    <fill>
      <patternFill patternType="solid">
        <fgColor theme="7" tint="0.79998168889431442"/>
        <bgColor indexed="64"/>
      </patternFill>
    </fill>
    <fill>
      <patternFill patternType="solid">
        <fgColor theme="8" tint="0.79998168889431442"/>
        <bgColor indexed="64"/>
      </patternFill>
    </fill>
  </fills>
  <borders count="3">
    <border>
      <left/>
      <right/>
      <top/>
      <bottom/>
      <diagonal/>
    </border>
    <border>
      <left/>
      <right/>
      <top/>
      <bottom style="medium">
        <color indexed="64"/>
      </bottom>
      <diagonal/>
    </border>
    <border>
      <left/>
      <right/>
      <top style="medium">
        <color indexed="64"/>
      </top>
      <bottom/>
      <diagonal/>
    </border>
  </borders>
  <cellStyleXfs count="109">
    <xf numFmtId="0" fontId="0" fillId="0" borderId="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4" fillId="0" borderId="0"/>
    <xf numFmtId="0" fontId="3" fillId="0" borderId="0" applyNumberFormat="0" applyFill="0" applyBorder="0" applyAlignment="0" applyProtection="0"/>
    <xf numFmtId="0" fontId="5" fillId="0" borderId="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5" fillId="0" borderId="0"/>
    <xf numFmtId="0" fontId="6" fillId="0" borderId="0"/>
    <xf numFmtId="0" fontId="1" fillId="0" borderId="0"/>
    <xf numFmtId="0" fontId="1" fillId="0" borderId="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9" fontId="11" fillId="0" borderId="0" applyFont="0" applyFill="0" applyBorder="0" applyAlignment="0" applyProtection="0"/>
  </cellStyleXfs>
  <cellXfs count="43">
    <xf numFmtId="0" fontId="0" fillId="0" borderId="0" xfId="0"/>
    <xf numFmtId="0" fontId="8" fillId="0" borderId="0" xfId="0" applyFont="1" applyFill="1" applyAlignment="1">
      <alignment horizontal="center" vertical="center"/>
    </xf>
    <xf numFmtId="0" fontId="8" fillId="0" borderId="0" xfId="0" applyFont="1" applyAlignment="1">
      <alignment horizontal="center" vertical="center"/>
    </xf>
    <xf numFmtId="0" fontId="8" fillId="0" borderId="0" xfId="0" applyFont="1" applyFill="1" applyAlignment="1">
      <alignment horizontal="center" vertical="center" wrapText="1"/>
    </xf>
    <xf numFmtId="0" fontId="8" fillId="0" borderId="0" xfId="0" applyFont="1" applyAlignment="1">
      <alignment horizontal="center" vertical="center" wrapText="1"/>
    </xf>
    <xf numFmtId="0" fontId="8" fillId="0" borderId="0" xfId="0" applyFont="1" applyAlignment="1">
      <alignment vertical="center" wrapText="1"/>
    </xf>
    <xf numFmtId="0" fontId="0" fillId="0" borderId="0" xfId="0" applyAlignment="1">
      <alignment horizontal="center"/>
    </xf>
    <xf numFmtId="0" fontId="2" fillId="0" borderId="1" xfId="74" applyBorder="1" applyAlignment="1">
      <alignment vertical="center" wrapText="1"/>
    </xf>
    <xf numFmtId="0" fontId="8" fillId="0" borderId="1" xfId="0" applyFont="1" applyBorder="1" applyAlignment="1">
      <alignment horizontal="center" vertical="center" wrapText="1"/>
    </xf>
    <xf numFmtId="0" fontId="0" fillId="0" borderId="0" xfId="0" applyAlignment="1">
      <alignment horizontal="center" vertical="center"/>
    </xf>
    <xf numFmtId="0" fontId="0" fillId="0" borderId="0" xfId="0" applyAlignment="1">
      <alignment vertical="center"/>
    </xf>
    <xf numFmtId="0" fontId="0" fillId="0" borderId="0" xfId="0" applyAlignment="1"/>
    <xf numFmtId="0" fontId="8" fillId="0" borderId="0" xfId="0" applyFont="1" applyAlignment="1">
      <alignment horizontal="left" vertical="center" wrapText="1"/>
    </xf>
    <xf numFmtId="0" fontId="2" fillId="2" borderId="0" xfId="74" applyFill="1" applyAlignment="1">
      <alignment horizontal="center" vertical="center"/>
    </xf>
    <xf numFmtId="0" fontId="2" fillId="2" borderId="0" xfId="74" applyFill="1" applyAlignment="1">
      <alignment horizontal="center" vertical="center" wrapText="1"/>
    </xf>
    <xf numFmtId="0" fontId="8" fillId="0" borderId="1" xfId="0" applyFont="1" applyBorder="1" applyAlignment="1">
      <alignment horizontal="left" vertical="center" wrapText="1"/>
    </xf>
    <xf numFmtId="0" fontId="0" fillId="0" borderId="1" xfId="0" applyBorder="1" applyAlignment="1">
      <alignment horizontal="center" vertical="center"/>
    </xf>
    <xf numFmtId="0" fontId="8" fillId="2" borderId="0" xfId="0" applyFont="1" applyFill="1" applyAlignment="1">
      <alignment horizontal="center" vertical="center"/>
    </xf>
    <xf numFmtId="0" fontId="8" fillId="2" borderId="1" xfId="0" applyFont="1" applyFill="1" applyBorder="1" applyAlignment="1">
      <alignment horizontal="center" vertical="center" wrapText="1"/>
    </xf>
    <xf numFmtId="0" fontId="8" fillId="0" borderId="0" xfId="0" applyFont="1" applyFill="1" applyBorder="1" applyAlignment="1">
      <alignment horizontal="center" vertical="center"/>
    </xf>
    <xf numFmtId="0" fontId="8" fillId="2" borderId="1" xfId="0" applyFont="1" applyFill="1" applyBorder="1" applyAlignment="1">
      <alignment horizontal="center" vertical="center"/>
    </xf>
    <xf numFmtId="0" fontId="9" fillId="2" borderId="0" xfId="74" applyFont="1" applyFill="1" applyAlignment="1">
      <alignment horizontal="center" vertical="center"/>
    </xf>
    <xf numFmtId="0" fontId="9" fillId="2" borderId="0" xfId="74" applyFont="1" applyFill="1" applyAlignment="1">
      <alignment horizontal="center" vertical="center" wrapText="1"/>
    </xf>
    <xf numFmtId="0" fontId="8" fillId="2" borderId="0" xfId="74" applyFont="1" applyFill="1" applyAlignment="1">
      <alignment horizontal="center" vertical="center"/>
    </xf>
    <xf numFmtId="0" fontId="8" fillId="2" borderId="1" xfId="0" applyFont="1" applyFill="1" applyBorder="1" applyAlignment="1">
      <alignment horizontal="center" vertical="center" wrapText="1"/>
    </xf>
    <xf numFmtId="0" fontId="8" fillId="2" borderId="1" xfId="0" applyFont="1" applyFill="1" applyBorder="1" applyAlignment="1">
      <alignment horizontal="center" vertical="center"/>
    </xf>
    <xf numFmtId="0" fontId="8" fillId="2" borderId="1" xfId="0" applyFont="1" applyFill="1" applyBorder="1" applyAlignment="1">
      <alignment horizontal="center" vertical="center" wrapText="1"/>
    </xf>
    <xf numFmtId="0" fontId="8" fillId="2" borderId="0" xfId="74" applyFont="1" applyFill="1" applyAlignment="1">
      <alignment horizontal="center" vertical="center" wrapText="1"/>
    </xf>
    <xf numFmtId="0" fontId="8" fillId="2" borderId="0" xfId="74" applyFont="1" applyFill="1" applyAlignment="1">
      <alignment horizontal="center" wrapText="1"/>
    </xf>
    <xf numFmtId="0" fontId="10" fillId="2" borderId="0" xfId="74" applyNumberFormat="1" applyFont="1" applyFill="1" applyAlignment="1">
      <alignment horizontal="center" vertical="center"/>
    </xf>
    <xf numFmtId="0" fontId="10" fillId="2" borderId="0" xfId="74" applyNumberFormat="1" applyFont="1" applyFill="1" applyAlignment="1">
      <alignment horizontal="center" vertical="center" wrapText="1"/>
    </xf>
    <xf numFmtId="0" fontId="10" fillId="0" borderId="0" xfId="0" applyNumberFormat="1" applyFont="1" applyFill="1" applyAlignment="1">
      <alignment horizontal="center" vertical="center" wrapText="1"/>
    </xf>
    <xf numFmtId="0" fontId="8" fillId="2" borderId="1" xfId="0" applyFont="1" applyFill="1" applyBorder="1" applyAlignment="1">
      <alignment horizontal="center" vertical="center" wrapText="1"/>
    </xf>
    <xf numFmtId="0" fontId="8" fillId="2" borderId="1" xfId="0" applyFont="1" applyFill="1" applyBorder="1" applyAlignment="1">
      <alignment horizontal="center" vertical="center"/>
    </xf>
    <xf numFmtId="0" fontId="8" fillId="2" borderId="2" xfId="0" applyFont="1" applyFill="1" applyBorder="1" applyAlignment="1">
      <alignment horizontal="center" vertical="center" wrapText="1"/>
    </xf>
    <xf numFmtId="0" fontId="8" fillId="2" borderId="2" xfId="74" applyFont="1" applyFill="1" applyBorder="1" applyAlignment="1">
      <alignment horizontal="center" vertical="center"/>
    </xf>
    <xf numFmtId="165" fontId="8" fillId="0" borderId="0" xfId="108" applyNumberFormat="1" applyFont="1" applyAlignment="1">
      <alignment horizontal="center" vertical="center"/>
    </xf>
    <xf numFmtId="165" fontId="8" fillId="2" borderId="2" xfId="108" applyNumberFormat="1" applyFont="1" applyFill="1" applyBorder="1" applyAlignment="1">
      <alignment horizontal="center" vertical="center" wrapText="1"/>
    </xf>
    <xf numFmtId="0" fontId="8" fillId="0" borderId="0" xfId="108" applyNumberFormat="1" applyFont="1" applyAlignment="1">
      <alignment horizontal="center" vertical="center"/>
    </xf>
    <xf numFmtId="165" fontId="8" fillId="3" borderId="0" xfId="108" applyNumberFormat="1" applyFont="1" applyFill="1" applyAlignment="1">
      <alignment horizontal="center" vertical="center"/>
    </xf>
    <xf numFmtId="0" fontId="8" fillId="0" borderId="1" xfId="0" applyFont="1" applyBorder="1" applyAlignment="1">
      <alignment horizontal="center" vertical="center"/>
    </xf>
    <xf numFmtId="0" fontId="8" fillId="2" borderId="2" xfId="0" applyFont="1" applyFill="1" applyBorder="1" applyAlignment="1">
      <alignment horizontal="center" vertical="center" wrapText="1"/>
    </xf>
    <xf numFmtId="0" fontId="8" fillId="2" borderId="1" xfId="0" applyFont="1" applyFill="1" applyBorder="1" applyAlignment="1">
      <alignment horizontal="center" vertical="center" wrapText="1"/>
    </xf>
  </cellXfs>
  <cellStyles count="109">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Followed Hyperlink" xfId="26" builtinId="9" hidden="1"/>
    <cellStyle name="Followed Hyperlink" xfId="28" builtinId="9" hidden="1"/>
    <cellStyle name="Followed Hyperlink" xfId="30" builtinId="9" hidden="1"/>
    <cellStyle name="Followed Hyperlink" xfId="32" builtinId="9" hidden="1"/>
    <cellStyle name="Followed Hyperlink" xfId="34" builtinId="9" hidden="1"/>
    <cellStyle name="Followed Hyperlink" xfId="36" builtinId="9" hidden="1"/>
    <cellStyle name="Followed Hyperlink" xfId="38" builtinId="9" hidden="1"/>
    <cellStyle name="Followed Hyperlink" xfId="40" builtinId="9" hidden="1"/>
    <cellStyle name="Followed Hyperlink" xfId="42" builtinId="9" hidden="1"/>
    <cellStyle name="Followed Hyperlink" xfId="44" builtinId="9" hidden="1"/>
    <cellStyle name="Followed Hyperlink" xfId="46" builtinId="9" hidden="1"/>
    <cellStyle name="Followed Hyperlink" xfId="47" builtinId="9" hidden="1"/>
    <cellStyle name="Followed Hyperlink" xfId="48" builtinId="9" hidden="1"/>
    <cellStyle name="Followed Hyperlink" xfId="49" builtinId="9" hidden="1"/>
    <cellStyle name="Followed Hyperlink" xfId="50" builtinId="9" hidden="1"/>
    <cellStyle name="Followed Hyperlink" xfId="51" builtinId="9" hidden="1"/>
    <cellStyle name="Followed Hyperlink" xfId="52" builtinId="9" hidden="1"/>
    <cellStyle name="Followed Hyperlink" xfId="53" builtinId="9" hidden="1"/>
    <cellStyle name="Followed Hyperlink" xfId="54" builtinId="9" hidden="1"/>
    <cellStyle name="Followed Hyperlink" xfId="55" builtinId="9" hidden="1"/>
    <cellStyle name="Followed Hyperlink" xfId="56" builtinId="9" hidden="1"/>
    <cellStyle name="Followed Hyperlink" xfId="57" builtinId="9" hidden="1"/>
    <cellStyle name="Followed Hyperlink" xfId="58" builtinId="9" hidden="1"/>
    <cellStyle name="Followed Hyperlink" xfId="59" builtinId="9" hidden="1"/>
    <cellStyle name="Followed Hyperlink" xfId="60" builtinId="9" hidden="1"/>
    <cellStyle name="Followed Hyperlink" xfId="61" builtinId="9" hidden="1"/>
    <cellStyle name="Followed Hyperlink" xfId="62" builtinId="9" hidden="1"/>
    <cellStyle name="Followed Hyperlink" xfId="63" builtinId="9" hidden="1"/>
    <cellStyle name="Followed Hyperlink" xfId="64" builtinId="9" hidden="1"/>
    <cellStyle name="Followed Hyperlink" xfId="65" builtinId="9" hidden="1"/>
    <cellStyle name="Followed Hyperlink" xfId="66" builtinId="9" hidden="1"/>
    <cellStyle name="Followed Hyperlink" xfId="71" builtinId="9" hidden="1"/>
    <cellStyle name="Followed Hyperlink" xfId="73" builtinId="9" hidden="1"/>
    <cellStyle name="Followed Hyperlink" xfId="75" builtinId="9" hidden="1"/>
    <cellStyle name="Followed Hyperlink" xfId="76" builtinId="9" hidden="1"/>
    <cellStyle name="Followed Hyperlink" xfId="77" builtinId="9" hidden="1"/>
    <cellStyle name="Followed Hyperlink" xfId="78" builtinId="9" hidden="1"/>
    <cellStyle name="Followed Hyperlink" xfId="79" builtinId="9" hidden="1"/>
    <cellStyle name="Followed Hyperlink" xfId="80" builtinId="9" hidden="1"/>
    <cellStyle name="Followed Hyperlink" xfId="81" builtinId="9" hidden="1"/>
    <cellStyle name="Followed Hyperlink" xfId="82" builtinId="9" hidden="1"/>
    <cellStyle name="Followed Hyperlink" xfId="83" builtinId="9" hidden="1"/>
    <cellStyle name="Followed Hyperlink" xfId="84" builtinId="9" hidden="1"/>
    <cellStyle name="Followed Hyperlink" xfId="85" builtinId="9" hidden="1"/>
    <cellStyle name="Followed Hyperlink" xfId="86" builtinId="9" hidden="1"/>
    <cellStyle name="Followed Hyperlink" xfId="87" builtinId="9" hidden="1"/>
    <cellStyle name="Followed Hyperlink" xfId="88" builtinId="9" hidden="1"/>
    <cellStyle name="Followed Hyperlink" xfId="89" builtinId="9" hidden="1"/>
    <cellStyle name="Followed Hyperlink" xfId="90" builtinId="9" hidden="1"/>
    <cellStyle name="Followed Hyperlink" xfId="91" builtinId="9" hidden="1"/>
    <cellStyle name="Followed Hyperlink" xfId="92" builtinId="9" hidden="1"/>
    <cellStyle name="Followed Hyperlink" xfId="93" builtinId="9" hidden="1"/>
    <cellStyle name="Followed Hyperlink" xfId="94" builtinId="9" hidden="1"/>
    <cellStyle name="Followed Hyperlink" xfId="95" builtinId="9" hidden="1"/>
    <cellStyle name="Followed Hyperlink" xfId="96" builtinId="9" hidden="1"/>
    <cellStyle name="Followed Hyperlink" xfId="97" builtinId="9" hidden="1"/>
    <cellStyle name="Followed Hyperlink" xfId="98" builtinId="9" hidden="1"/>
    <cellStyle name="Followed Hyperlink" xfId="99" builtinId="9" hidden="1"/>
    <cellStyle name="Followed Hyperlink" xfId="100" builtinId="9" hidden="1"/>
    <cellStyle name="Followed Hyperlink" xfId="101" builtinId="9" hidden="1"/>
    <cellStyle name="Followed Hyperlink" xfId="102" builtinId="9" hidden="1"/>
    <cellStyle name="Followed Hyperlink" xfId="103" builtinId="9" hidden="1"/>
    <cellStyle name="Followed Hyperlink" xfId="104" builtinId="9" hidden="1"/>
    <cellStyle name="Followed Hyperlink" xfId="105" builtinId="9" hidden="1"/>
    <cellStyle name="Followed Hyperlink" xfId="106" builtinId="9" hidden="1"/>
    <cellStyle name="Followed Hyperlink" xfId="107" builtinId="9" hidden="1"/>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Hyperlink" xfId="25" builtinId="8" hidden="1"/>
    <cellStyle name="Hyperlink" xfId="27" builtinId="8" hidden="1"/>
    <cellStyle name="Hyperlink" xfId="29" builtinId="8" hidden="1"/>
    <cellStyle name="Hyperlink" xfId="31" builtinId="8" hidden="1"/>
    <cellStyle name="Hyperlink" xfId="33" builtinId="8" hidden="1"/>
    <cellStyle name="Hyperlink" xfId="35" builtinId="8" hidden="1"/>
    <cellStyle name="Hyperlink" xfId="37" builtinId="8" hidden="1"/>
    <cellStyle name="Hyperlink" xfId="39" builtinId="8" hidden="1"/>
    <cellStyle name="Hyperlink" xfId="41" builtinId="8" hidden="1"/>
    <cellStyle name="Hyperlink" xfId="72" builtinId="8" hidden="1"/>
    <cellStyle name="Hyperlink" xfId="74" builtinId="8"/>
    <cellStyle name="Normal" xfId="0" builtinId="0"/>
    <cellStyle name="Normal 15" xfId="67" xr:uid="{00000000-0005-0000-0000-000066000000}"/>
    <cellStyle name="Normal 2" xfId="43" xr:uid="{00000000-0005-0000-0000-000067000000}"/>
    <cellStyle name="Normal 3" xfId="45" xr:uid="{00000000-0005-0000-0000-000068000000}"/>
    <cellStyle name="Normal 4" xfId="68" xr:uid="{00000000-0005-0000-0000-000069000000}"/>
    <cellStyle name="Normal 5" xfId="69" xr:uid="{00000000-0005-0000-0000-00006A000000}"/>
    <cellStyle name="Normal 6" xfId="70" xr:uid="{00000000-0005-0000-0000-00006B000000}"/>
    <cellStyle name="Percent" xfId="108" builtinId="5"/>
  </cellStyles>
  <dxfs count="0"/>
  <tableStyles count="0" defaultTableStyle="TableStyleMedium9" defaultPivotStyle="PivotStyleMedium4"/>
  <colors>
    <mruColors>
      <color rgb="FFFF9FD4"/>
      <color rgb="FFF4CAE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www.boj.or.jp/en/research/o_survey/index.htm/"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doi.org/10.1371/journal.pone.0003081.g009" TargetMode="External"/><Relationship Id="rId13" Type="http://schemas.openxmlformats.org/officeDocument/2006/relationships/hyperlink" Target="https://doi.org/10.1371/journal.pone.0003081.g014" TargetMode="External"/><Relationship Id="rId18" Type="http://schemas.openxmlformats.org/officeDocument/2006/relationships/hyperlink" Target="https://doi.org/10.1001/jama.291.20.2457" TargetMode="External"/><Relationship Id="rId26" Type="http://schemas.openxmlformats.org/officeDocument/2006/relationships/hyperlink" Target="https://core.ac.uk/download/pdf/41234726.pdf" TargetMode="External"/><Relationship Id="rId3" Type="http://schemas.openxmlformats.org/officeDocument/2006/relationships/hyperlink" Target="https://doi.org/10.1371/journal.pone.0003081.g004" TargetMode="External"/><Relationship Id="rId21" Type="http://schemas.openxmlformats.org/officeDocument/2006/relationships/hyperlink" Target="http://doi.org/10.1001/jama.1992.03480030052036" TargetMode="External"/><Relationship Id="rId7" Type="http://schemas.openxmlformats.org/officeDocument/2006/relationships/hyperlink" Target="https://doi.org/10.1371/journal.pone.0003081.g008" TargetMode="External"/><Relationship Id="rId12" Type="http://schemas.openxmlformats.org/officeDocument/2006/relationships/hyperlink" Target="https://doi.org/10.1371/journal.pone.0003081.g013" TargetMode="External"/><Relationship Id="rId17" Type="http://schemas.openxmlformats.org/officeDocument/2006/relationships/hyperlink" Target="https://doi.org/10.1371/journal.pone.0003081.g018" TargetMode="External"/><Relationship Id="rId25" Type="http://schemas.openxmlformats.org/officeDocument/2006/relationships/hyperlink" Target="http://doi.org/10.1503/cmaj.1041086" TargetMode="External"/><Relationship Id="rId2" Type="http://schemas.openxmlformats.org/officeDocument/2006/relationships/hyperlink" Target="https://doi.org/10.1371/journal.pone.0003081.g003" TargetMode="External"/><Relationship Id="rId16" Type="http://schemas.openxmlformats.org/officeDocument/2006/relationships/hyperlink" Target="https://doi.org/10.1371/journal.pone.0003081.g017" TargetMode="External"/><Relationship Id="rId20" Type="http://schemas.openxmlformats.org/officeDocument/2006/relationships/hyperlink" Target="http://doi.org/10.1046/j.1365-2753.2002.00314.x" TargetMode="External"/><Relationship Id="rId29" Type="http://schemas.openxmlformats.org/officeDocument/2006/relationships/hyperlink" Target="http://doi.org/10.1136/bmj.38488.385995.8F" TargetMode="External"/><Relationship Id="rId1" Type="http://schemas.openxmlformats.org/officeDocument/2006/relationships/hyperlink" Target="https://doi.org/10.1371/journal.pone.0003081" TargetMode="External"/><Relationship Id="rId6" Type="http://schemas.openxmlformats.org/officeDocument/2006/relationships/hyperlink" Target="https://doi.org/10.1371/journal.pone.0003081.g007" TargetMode="External"/><Relationship Id="rId11" Type="http://schemas.openxmlformats.org/officeDocument/2006/relationships/hyperlink" Target="https://doi.org/10.1371/journal.pone.0003081.g012" TargetMode="External"/><Relationship Id="rId24" Type="http://schemas.openxmlformats.org/officeDocument/2006/relationships/hyperlink" Target="http://doi.org/10.1001/jama.279.4.281" TargetMode="External"/><Relationship Id="rId32" Type="http://schemas.openxmlformats.org/officeDocument/2006/relationships/hyperlink" Target="https://doi.org/10.1037/1082-989X.2.4.447" TargetMode="External"/><Relationship Id="rId5" Type="http://schemas.openxmlformats.org/officeDocument/2006/relationships/hyperlink" Target="https://doi.org/10.1371/journal.pone.0003081.g006" TargetMode="External"/><Relationship Id="rId15" Type="http://schemas.openxmlformats.org/officeDocument/2006/relationships/hyperlink" Target="https://doi.org/10.1371/journal.pone.0003081.g016" TargetMode="External"/><Relationship Id="rId23" Type="http://schemas.openxmlformats.org/officeDocument/2006/relationships/hyperlink" Target="https://doi.org/10.1136/bmj.315.7109.640" TargetMode="External"/><Relationship Id="rId28" Type="http://schemas.openxmlformats.org/officeDocument/2006/relationships/hyperlink" Target="https://doi.org/10.1016/S0140-6736(03)12799-7" TargetMode="External"/><Relationship Id="rId10" Type="http://schemas.openxmlformats.org/officeDocument/2006/relationships/hyperlink" Target="https://doi.org/10.1371/journal.pone.0003081.g011" TargetMode="External"/><Relationship Id="rId19" Type="http://schemas.openxmlformats.org/officeDocument/2006/relationships/hyperlink" Target="https://doi.org/10.1016/0140-6736(91)90201-y" TargetMode="External"/><Relationship Id="rId31" Type="http://schemas.openxmlformats.org/officeDocument/2006/relationships/hyperlink" Target="http://doi.org/10.1017/s0266462304001175" TargetMode="External"/><Relationship Id="rId4" Type="http://schemas.openxmlformats.org/officeDocument/2006/relationships/hyperlink" Target="https://doi.org/10.1371/journal.pone.0003081.g005" TargetMode="External"/><Relationship Id="rId9" Type="http://schemas.openxmlformats.org/officeDocument/2006/relationships/hyperlink" Target="https://doi.org/10.1371/journal.pone.0003081.g010" TargetMode="External"/><Relationship Id="rId14" Type="http://schemas.openxmlformats.org/officeDocument/2006/relationships/hyperlink" Target="https://doi.org/10.1371/journal.pone.0003081.g015" TargetMode="External"/><Relationship Id="rId22" Type="http://schemas.openxmlformats.org/officeDocument/2006/relationships/hyperlink" Target="https://pubmed.ncbi.nlm.nih.gov/8306005/" TargetMode="External"/><Relationship Id="rId27" Type="http://schemas.openxmlformats.org/officeDocument/2006/relationships/hyperlink" Target="https://doi.org/10.7892/boris.27773" TargetMode="External"/><Relationship Id="rId30" Type="http://schemas.openxmlformats.org/officeDocument/2006/relationships/hyperlink" Target="http://doi.org/10.1186/1471-2458-6-16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2ADFBC-7943-DD4C-80DA-EFE9865BCBE3}">
  <dimension ref="A1:D12"/>
  <sheetViews>
    <sheetView zoomScale="130" zoomScaleNormal="130" workbookViewId="0">
      <selection activeCell="B7" sqref="B7"/>
    </sheetView>
  </sheetViews>
  <sheetFormatPr baseColWidth="10" defaultRowHeight="16" x14ac:dyDescent="0.2"/>
  <cols>
    <col min="1" max="1" width="26.33203125" customWidth="1"/>
    <col min="2" max="2" width="63.83203125" customWidth="1"/>
  </cols>
  <sheetData>
    <row r="1" spans="1:4" s="6" customFormat="1" ht="30" customHeight="1" thickBot="1" x14ac:dyDescent="0.25">
      <c r="A1" s="40" t="s">
        <v>1</v>
      </c>
      <c r="B1" s="40"/>
    </row>
    <row r="2" spans="1:4" ht="30" customHeight="1" x14ac:dyDescent="0.2">
      <c r="A2" s="13" t="s">
        <v>2</v>
      </c>
      <c r="B2" s="10"/>
    </row>
    <row r="3" spans="1:4" ht="68" customHeight="1" x14ac:dyDescent="0.2">
      <c r="A3" s="9" t="s">
        <v>5</v>
      </c>
      <c r="B3" s="5" t="s">
        <v>3</v>
      </c>
      <c r="D3" s="10"/>
    </row>
    <row r="4" spans="1:4" ht="30" customHeight="1" thickBot="1" x14ac:dyDescent="0.25">
      <c r="A4" s="8" t="s">
        <v>4</v>
      </c>
      <c r="B4" s="7" t="s">
        <v>0</v>
      </c>
    </row>
    <row r="5" spans="1:4" ht="30" customHeight="1" x14ac:dyDescent="0.2">
      <c r="A5" s="14" t="s">
        <v>6</v>
      </c>
      <c r="B5" s="12"/>
    </row>
    <row r="6" spans="1:4" ht="57" customHeight="1" thickBot="1" x14ac:dyDescent="0.25">
      <c r="A6" s="16" t="s">
        <v>5</v>
      </c>
      <c r="B6" s="15" t="s">
        <v>7</v>
      </c>
    </row>
    <row r="12" spans="1:4" x14ac:dyDescent="0.2">
      <c r="B12" s="11"/>
    </row>
  </sheetData>
  <mergeCells count="1">
    <mergeCell ref="A1:B1"/>
  </mergeCells>
  <hyperlinks>
    <hyperlink ref="A2" location="'Disaggregated results'!A1" display="Disaggregated results" xr:uid="{4F033872-DAAB-BE40-8450-8794B9894405}"/>
    <hyperlink ref="B4" r:id="rId1" xr:uid="{692E944F-D51B-A745-AF1F-3D7E09E39B7F}"/>
    <hyperlink ref="A5" location="'Table 4'!A1" display="Table 4" xr:uid="{8FFDB2ED-D364-E945-AD78-77F331ABA16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53"/>
  <sheetViews>
    <sheetView tabSelected="1" topLeftCell="G1" zoomScale="70" zoomScaleNormal="70" workbookViewId="0">
      <selection activeCell="T25" sqref="T25"/>
    </sheetView>
  </sheetViews>
  <sheetFormatPr baseColWidth="10" defaultRowHeight="20" customHeight="1" x14ac:dyDescent="0.2"/>
  <cols>
    <col min="1" max="1" width="17" style="1" customWidth="1"/>
    <col min="2" max="2" width="31" style="3" customWidth="1"/>
    <col min="3" max="3" width="12.33203125" style="3" customWidth="1"/>
    <col min="4" max="4" width="18.33203125" style="3" customWidth="1"/>
    <col min="5" max="5" width="2.83203125" customWidth="1"/>
    <col min="6" max="7" width="22.33203125" style="1" customWidth="1"/>
    <col min="8" max="9" width="16.5" style="1" customWidth="1"/>
    <col min="10" max="10" width="21.6640625" style="1" customWidth="1"/>
    <col min="11" max="11" width="19.83203125" style="1" customWidth="1"/>
    <col min="12" max="12" width="2.5" style="2" customWidth="1"/>
    <col min="13" max="18" width="17.5" style="2" customWidth="1"/>
    <col min="19" max="20" width="22.33203125" style="2" customWidth="1"/>
    <col min="21" max="22" width="19" style="2" customWidth="1"/>
    <col min="23" max="24" width="10.83203125" style="2"/>
    <col min="25" max="25" width="2.5" style="2" customWidth="1"/>
    <col min="26" max="16384" width="10.83203125" style="2"/>
  </cols>
  <sheetData>
    <row r="1" spans="1:24" ht="63" customHeight="1" x14ac:dyDescent="0.2">
      <c r="A1" s="17" t="s">
        <v>10</v>
      </c>
      <c r="B1" s="22" t="s">
        <v>8</v>
      </c>
      <c r="C1" s="2"/>
      <c r="D1" s="2"/>
      <c r="F1" s="2"/>
      <c r="G1" s="2"/>
      <c r="H1" s="2"/>
      <c r="I1" s="2"/>
      <c r="J1" s="2"/>
      <c r="M1" s="1"/>
      <c r="N1" s="1"/>
      <c r="O1" s="1"/>
      <c r="P1" s="1"/>
      <c r="Q1" s="1"/>
      <c r="R1" s="1"/>
      <c r="S1" s="1"/>
      <c r="T1" s="1"/>
      <c r="U1" s="1"/>
      <c r="V1" s="1"/>
      <c r="W1" s="1"/>
      <c r="X1" s="1"/>
    </row>
    <row r="2" spans="1:24" ht="23" customHeight="1" thickBot="1" x14ac:dyDescent="0.25">
      <c r="F2" s="42" t="s">
        <v>23</v>
      </c>
      <c r="G2" s="42"/>
      <c r="H2" s="42"/>
      <c r="I2" s="42"/>
      <c r="J2" s="42"/>
      <c r="K2" s="42"/>
      <c r="M2" s="42" t="s">
        <v>24</v>
      </c>
      <c r="N2" s="42"/>
      <c r="O2" s="42"/>
      <c r="P2" s="42"/>
      <c r="Q2" s="42"/>
      <c r="R2" s="42"/>
      <c r="S2" s="42"/>
      <c r="T2" s="42"/>
      <c r="U2" s="42"/>
      <c r="V2" s="42"/>
      <c r="W2" s="42"/>
      <c r="X2" s="42"/>
    </row>
    <row r="3" spans="1:24" s="19" customFormat="1" ht="39" customHeight="1" thickBot="1" x14ac:dyDescent="0.25">
      <c r="A3" s="20" t="s">
        <v>9</v>
      </c>
      <c r="B3" s="26" t="s">
        <v>12</v>
      </c>
      <c r="C3" s="18" t="s">
        <v>13</v>
      </c>
      <c r="D3" s="18" t="s">
        <v>14</v>
      </c>
      <c r="E3"/>
      <c r="F3" s="18" t="s">
        <v>15</v>
      </c>
      <c r="G3" s="32" t="s">
        <v>44</v>
      </c>
      <c r="H3" s="18" t="s">
        <v>43</v>
      </c>
      <c r="I3" s="32" t="s">
        <v>45</v>
      </c>
      <c r="J3" s="18" t="s">
        <v>21</v>
      </c>
      <c r="K3" s="18" t="s">
        <v>20</v>
      </c>
      <c r="M3" s="18" t="s">
        <v>16</v>
      </c>
      <c r="N3" s="32" t="s">
        <v>46</v>
      </c>
      <c r="O3" s="32" t="s">
        <v>48</v>
      </c>
      <c r="P3" s="25" t="s">
        <v>17</v>
      </c>
      <c r="Q3" s="33" t="s">
        <v>49</v>
      </c>
      <c r="R3" s="18" t="s">
        <v>18</v>
      </c>
      <c r="S3" s="18" t="s">
        <v>19</v>
      </c>
      <c r="T3" s="24" t="s">
        <v>40</v>
      </c>
      <c r="U3" s="18" t="s">
        <v>52</v>
      </c>
      <c r="V3" s="32" t="s">
        <v>53</v>
      </c>
      <c r="W3" s="25" t="s">
        <v>41</v>
      </c>
    </row>
    <row r="4" spans="1:24" ht="20" customHeight="1" x14ac:dyDescent="0.2">
      <c r="A4" s="21">
        <v>3</v>
      </c>
      <c r="B4" s="29" t="s">
        <v>11</v>
      </c>
      <c r="C4" s="23">
        <v>1994</v>
      </c>
      <c r="D4" s="23">
        <v>2003</v>
      </c>
      <c r="F4" s="1">
        <v>304</v>
      </c>
      <c r="G4" s="1">
        <v>304</v>
      </c>
      <c r="H4" s="1">
        <v>30</v>
      </c>
      <c r="I4" s="1">
        <f>G4-H4</f>
        <v>274</v>
      </c>
      <c r="J4" s="1">
        <v>123</v>
      </c>
      <c r="K4" s="1">
        <v>151</v>
      </c>
      <c r="M4" s="2">
        <v>24</v>
      </c>
      <c r="N4" s="36">
        <f>M4/I4</f>
        <v>8.7591240875912413E-2</v>
      </c>
      <c r="O4" s="38">
        <f>I4-M4</f>
        <v>250</v>
      </c>
      <c r="P4" s="2">
        <v>2</v>
      </c>
      <c r="Q4" s="2">
        <f>O4-P4</f>
        <v>248</v>
      </c>
      <c r="R4" s="2">
        <v>38</v>
      </c>
      <c r="S4" s="2">
        <v>0</v>
      </c>
      <c r="T4" s="2">
        <v>38</v>
      </c>
      <c r="U4" s="2">
        <v>87</v>
      </c>
      <c r="V4" s="2">
        <f>U4+J4</f>
        <v>210</v>
      </c>
      <c r="W4" s="2">
        <f>M4+P4+T4+U4</f>
        <v>151</v>
      </c>
    </row>
    <row r="5" spans="1:24" ht="20" customHeight="1" x14ac:dyDescent="0.2">
      <c r="A5" s="21">
        <v>4</v>
      </c>
      <c r="B5" s="29" t="s">
        <v>22</v>
      </c>
      <c r="C5" s="23">
        <v>1984</v>
      </c>
      <c r="D5" s="23">
        <v>1990</v>
      </c>
      <c r="F5" s="1">
        <v>715</v>
      </c>
      <c r="G5" s="1">
        <f>F5-215</f>
        <v>500</v>
      </c>
      <c r="H5" s="1">
        <v>0</v>
      </c>
      <c r="I5" s="1">
        <f t="shared" ref="I5:I19" si="0">G5-H5</f>
        <v>500</v>
      </c>
      <c r="J5" s="1">
        <v>0</v>
      </c>
      <c r="K5" s="1">
        <v>500</v>
      </c>
      <c r="M5" s="2">
        <v>113</v>
      </c>
      <c r="N5" s="36">
        <f t="shared" ref="N5:N19" si="1">M5/I5</f>
        <v>0.22600000000000001</v>
      </c>
      <c r="O5" s="38">
        <f t="shared" ref="O5:O19" si="2">I5-M5</f>
        <v>387</v>
      </c>
      <c r="P5" s="2">
        <v>42</v>
      </c>
      <c r="Q5" s="2">
        <f t="shared" ref="Q5:Q19" si="3">O5-P5</f>
        <v>345</v>
      </c>
      <c r="R5" s="2">
        <v>28</v>
      </c>
      <c r="S5" s="2">
        <v>30</v>
      </c>
      <c r="T5" s="2">
        <v>58</v>
      </c>
      <c r="U5" s="2">
        <v>287</v>
      </c>
      <c r="V5" s="2">
        <f t="shared" ref="V5:V19" si="4">U5+J5</f>
        <v>287</v>
      </c>
      <c r="W5" s="2">
        <f t="shared" ref="W5:W19" si="5">M5+P5+T5+U5</f>
        <v>500</v>
      </c>
    </row>
    <row r="6" spans="1:24" ht="20" customHeight="1" x14ac:dyDescent="0.2">
      <c r="A6" s="21">
        <v>5</v>
      </c>
      <c r="B6" s="30" t="s">
        <v>25</v>
      </c>
      <c r="C6" s="27">
        <v>1980</v>
      </c>
      <c r="D6" s="27">
        <v>1988</v>
      </c>
      <c r="F6" s="1">
        <v>921</v>
      </c>
      <c r="G6" s="1">
        <f>F6</f>
        <v>921</v>
      </c>
      <c r="H6" s="1">
        <v>223</v>
      </c>
      <c r="I6" s="1">
        <f t="shared" si="0"/>
        <v>698</v>
      </c>
      <c r="J6" s="1">
        <v>0</v>
      </c>
      <c r="K6" s="1">
        <v>698</v>
      </c>
      <c r="M6" s="2">
        <v>184</v>
      </c>
      <c r="N6" s="36">
        <f t="shared" si="1"/>
        <v>0.26361031518624639</v>
      </c>
      <c r="O6" s="38">
        <f t="shared" si="2"/>
        <v>514</v>
      </c>
      <c r="P6" s="2">
        <v>0</v>
      </c>
      <c r="Q6" s="2">
        <f t="shared" si="3"/>
        <v>514</v>
      </c>
      <c r="R6" s="2" t="s">
        <v>39</v>
      </c>
      <c r="S6" s="2" t="s">
        <v>39</v>
      </c>
      <c r="T6" s="2">
        <v>0</v>
      </c>
      <c r="U6" s="2">
        <v>514</v>
      </c>
      <c r="V6" s="2">
        <f t="shared" si="4"/>
        <v>514</v>
      </c>
      <c r="W6" s="2">
        <f t="shared" si="5"/>
        <v>698</v>
      </c>
    </row>
    <row r="7" spans="1:24" ht="20" customHeight="1" x14ac:dyDescent="0.2">
      <c r="A7" s="21">
        <v>6</v>
      </c>
      <c r="B7" s="30" t="s">
        <v>26</v>
      </c>
      <c r="C7" s="27">
        <v>1979</v>
      </c>
      <c r="D7" s="27">
        <v>1988</v>
      </c>
      <c r="F7" s="1">
        <v>310</v>
      </c>
      <c r="G7" s="1">
        <f>F7</f>
        <v>310</v>
      </c>
      <c r="H7" s="1">
        <v>40</v>
      </c>
      <c r="I7" s="1">
        <f t="shared" si="0"/>
        <v>270</v>
      </c>
      <c r="J7" s="1">
        <v>36</v>
      </c>
      <c r="K7" s="1">
        <v>234</v>
      </c>
      <c r="M7" s="2">
        <v>17</v>
      </c>
      <c r="N7" s="36">
        <f t="shared" si="1"/>
        <v>6.2962962962962957E-2</v>
      </c>
      <c r="O7" s="38">
        <f t="shared" si="2"/>
        <v>253</v>
      </c>
      <c r="P7" s="2">
        <v>0</v>
      </c>
      <c r="Q7" s="2">
        <f t="shared" si="3"/>
        <v>253</v>
      </c>
      <c r="R7" s="2" t="s">
        <v>39</v>
      </c>
      <c r="S7" s="2" t="s">
        <v>39</v>
      </c>
      <c r="T7" s="2">
        <v>19</v>
      </c>
      <c r="U7" s="2">
        <v>198</v>
      </c>
      <c r="V7" s="2">
        <f t="shared" si="4"/>
        <v>234</v>
      </c>
      <c r="W7" s="2">
        <f t="shared" si="5"/>
        <v>234</v>
      </c>
    </row>
    <row r="8" spans="1:24" ht="20" customHeight="1" x14ac:dyDescent="0.2">
      <c r="A8" s="21">
        <v>7</v>
      </c>
      <c r="B8" s="30" t="s">
        <v>28</v>
      </c>
      <c r="C8" s="27">
        <v>1979</v>
      </c>
      <c r="D8" s="27">
        <v>1992</v>
      </c>
      <c r="F8" s="1">
        <v>748</v>
      </c>
      <c r="G8" s="1">
        <f>F8-228</f>
        <v>520</v>
      </c>
      <c r="H8" s="1">
        <v>0</v>
      </c>
      <c r="I8" s="1">
        <f t="shared" si="0"/>
        <v>520</v>
      </c>
      <c r="J8" s="1">
        <v>0</v>
      </c>
      <c r="K8" s="1">
        <v>520</v>
      </c>
      <c r="M8" s="2">
        <v>100</v>
      </c>
      <c r="N8" s="36">
        <f t="shared" si="1"/>
        <v>0.19230769230769232</v>
      </c>
      <c r="O8" s="38">
        <f t="shared" si="2"/>
        <v>420</v>
      </c>
      <c r="P8" s="2">
        <v>63</v>
      </c>
      <c r="Q8" s="2">
        <f t="shared" si="3"/>
        <v>357</v>
      </c>
      <c r="R8" s="2">
        <v>64</v>
      </c>
      <c r="S8" s="2">
        <v>6</v>
      </c>
      <c r="T8" s="2">
        <v>70</v>
      </c>
      <c r="U8" s="2">
        <v>287</v>
      </c>
      <c r="V8" s="2">
        <f t="shared" si="4"/>
        <v>287</v>
      </c>
      <c r="W8" s="2">
        <f t="shared" si="5"/>
        <v>520</v>
      </c>
    </row>
    <row r="9" spans="1:24" ht="20" customHeight="1" x14ac:dyDescent="0.2">
      <c r="A9" s="21">
        <v>8</v>
      </c>
      <c r="B9" s="30" t="s">
        <v>27</v>
      </c>
      <c r="C9" s="27">
        <v>1986</v>
      </c>
      <c r="D9" s="27" t="s">
        <v>39</v>
      </c>
      <c r="F9" s="1">
        <v>178</v>
      </c>
      <c r="G9" s="1">
        <f>F9-19</f>
        <v>159</v>
      </c>
      <c r="H9" s="1">
        <v>0</v>
      </c>
      <c r="I9" s="1">
        <f t="shared" si="0"/>
        <v>159</v>
      </c>
      <c r="J9" s="1">
        <v>0</v>
      </c>
      <c r="K9" s="1">
        <v>159</v>
      </c>
      <c r="M9" s="2">
        <v>4</v>
      </c>
      <c r="N9" s="36">
        <f t="shared" si="1"/>
        <v>2.5157232704402517E-2</v>
      </c>
      <c r="O9" s="38">
        <f t="shared" si="2"/>
        <v>155</v>
      </c>
      <c r="P9" s="2">
        <v>0</v>
      </c>
      <c r="Q9" s="2">
        <f t="shared" si="3"/>
        <v>155</v>
      </c>
      <c r="R9" s="2">
        <v>2</v>
      </c>
      <c r="S9" s="2">
        <v>2</v>
      </c>
      <c r="T9" s="2">
        <v>4</v>
      </c>
      <c r="U9" s="2">
        <v>151</v>
      </c>
      <c r="V9" s="2">
        <f t="shared" si="4"/>
        <v>151</v>
      </c>
      <c r="W9" s="2">
        <f t="shared" si="5"/>
        <v>159</v>
      </c>
    </row>
    <row r="10" spans="1:24" ht="20" customHeight="1" x14ac:dyDescent="0.2">
      <c r="A10" s="21">
        <v>9</v>
      </c>
      <c r="B10" s="30" t="s">
        <v>29</v>
      </c>
      <c r="C10" s="28">
        <v>1963</v>
      </c>
      <c r="D10" s="28">
        <v>1997</v>
      </c>
      <c r="F10" s="1">
        <v>61</v>
      </c>
      <c r="G10" s="1">
        <f>F10-2</f>
        <v>59</v>
      </c>
      <c r="H10" s="1">
        <v>3</v>
      </c>
      <c r="I10" s="1">
        <f t="shared" si="0"/>
        <v>56</v>
      </c>
      <c r="J10" s="1">
        <v>0</v>
      </c>
      <c r="K10" s="1">
        <v>56</v>
      </c>
      <c r="M10" s="2">
        <v>5</v>
      </c>
      <c r="N10" s="36">
        <f t="shared" si="1"/>
        <v>8.9285714285714288E-2</v>
      </c>
      <c r="O10" s="38">
        <f t="shared" si="2"/>
        <v>51</v>
      </c>
      <c r="P10" s="2">
        <v>2</v>
      </c>
      <c r="Q10" s="2">
        <f t="shared" si="3"/>
        <v>49</v>
      </c>
      <c r="R10" s="2">
        <v>10</v>
      </c>
      <c r="S10" s="2">
        <v>0</v>
      </c>
      <c r="T10" s="2">
        <v>10</v>
      </c>
      <c r="U10" s="2">
        <v>39</v>
      </c>
      <c r="V10" s="2">
        <f t="shared" si="4"/>
        <v>39</v>
      </c>
      <c r="W10" s="2">
        <f t="shared" si="5"/>
        <v>56</v>
      </c>
    </row>
    <row r="11" spans="1:24" ht="20" customHeight="1" x14ac:dyDescent="0.2">
      <c r="A11" s="21">
        <v>10</v>
      </c>
      <c r="B11" s="29" t="s">
        <v>30</v>
      </c>
      <c r="C11" s="28">
        <v>1986</v>
      </c>
      <c r="D11" s="28">
        <v>1996</v>
      </c>
      <c r="F11" s="1">
        <v>109</v>
      </c>
      <c r="G11" s="1">
        <f t="shared" ref="G11:G18" si="6">F11</f>
        <v>109</v>
      </c>
      <c r="H11" s="1">
        <v>0</v>
      </c>
      <c r="I11" s="1">
        <f t="shared" si="0"/>
        <v>109</v>
      </c>
      <c r="J11" s="1">
        <v>0</v>
      </c>
      <c r="K11" s="1">
        <v>109</v>
      </c>
      <c r="M11" s="2">
        <v>0</v>
      </c>
      <c r="N11" s="36">
        <f t="shared" si="1"/>
        <v>0</v>
      </c>
      <c r="O11" s="38">
        <f t="shared" si="2"/>
        <v>109</v>
      </c>
      <c r="P11" s="2">
        <v>35</v>
      </c>
      <c r="Q11" s="2">
        <f t="shared" si="3"/>
        <v>74</v>
      </c>
      <c r="R11" s="2">
        <v>8</v>
      </c>
      <c r="S11" s="2">
        <v>0</v>
      </c>
      <c r="T11" s="2">
        <v>8</v>
      </c>
      <c r="U11" s="2">
        <v>66</v>
      </c>
      <c r="V11" s="2">
        <f t="shared" si="4"/>
        <v>66</v>
      </c>
      <c r="W11" s="2">
        <f t="shared" si="5"/>
        <v>109</v>
      </c>
    </row>
    <row r="12" spans="1:24" ht="20" customHeight="1" x14ac:dyDescent="0.2">
      <c r="A12" s="21">
        <v>11</v>
      </c>
      <c r="B12" s="30" t="s">
        <v>31</v>
      </c>
      <c r="C12" s="28">
        <v>1997</v>
      </c>
      <c r="D12" s="28">
        <v>2001</v>
      </c>
      <c r="F12" s="1">
        <v>158</v>
      </c>
      <c r="G12" s="1">
        <f t="shared" si="6"/>
        <v>158</v>
      </c>
      <c r="H12" s="1">
        <v>4</v>
      </c>
      <c r="I12" s="1">
        <f t="shared" si="0"/>
        <v>154</v>
      </c>
      <c r="J12" s="1">
        <v>0</v>
      </c>
      <c r="K12" s="1">
        <v>154</v>
      </c>
      <c r="M12" s="2">
        <v>11</v>
      </c>
      <c r="N12" s="36">
        <f t="shared" si="1"/>
        <v>7.1428571428571425E-2</v>
      </c>
      <c r="O12" s="38">
        <f t="shared" si="2"/>
        <v>143</v>
      </c>
      <c r="P12" s="2">
        <v>20</v>
      </c>
      <c r="Q12" s="2">
        <f t="shared" si="3"/>
        <v>123</v>
      </c>
      <c r="R12" s="2">
        <v>20</v>
      </c>
      <c r="S12" s="2">
        <v>11</v>
      </c>
      <c r="T12" s="2">
        <v>31</v>
      </c>
      <c r="U12" s="2">
        <v>92</v>
      </c>
      <c r="V12" s="2">
        <f t="shared" si="4"/>
        <v>92</v>
      </c>
      <c r="W12" s="2">
        <f t="shared" si="5"/>
        <v>154</v>
      </c>
    </row>
    <row r="13" spans="1:24" ht="20" customHeight="1" x14ac:dyDescent="0.2">
      <c r="A13" s="21">
        <v>12</v>
      </c>
      <c r="B13" s="30" t="s">
        <v>32</v>
      </c>
      <c r="C13" s="28">
        <v>1993</v>
      </c>
      <c r="D13" s="28">
        <v>1998</v>
      </c>
      <c r="F13" s="1">
        <v>101</v>
      </c>
      <c r="G13" s="1">
        <f>F13-13</f>
        <v>88</v>
      </c>
      <c r="H13" s="1">
        <v>17</v>
      </c>
      <c r="I13" s="1">
        <f t="shared" si="0"/>
        <v>71</v>
      </c>
      <c r="J13" s="1">
        <v>0</v>
      </c>
      <c r="K13" s="1">
        <v>71</v>
      </c>
      <c r="M13" s="2">
        <v>0</v>
      </c>
      <c r="N13" s="36">
        <f t="shared" si="1"/>
        <v>0</v>
      </c>
      <c r="O13" s="38">
        <f t="shared" si="2"/>
        <v>71</v>
      </c>
      <c r="P13" s="2">
        <v>0</v>
      </c>
      <c r="Q13" s="2">
        <f t="shared" si="3"/>
        <v>71</v>
      </c>
      <c r="R13" s="2" t="s">
        <v>39</v>
      </c>
      <c r="S13" s="2" t="s">
        <v>39</v>
      </c>
      <c r="T13" s="2">
        <v>1</v>
      </c>
      <c r="U13" s="2">
        <v>70</v>
      </c>
      <c r="V13" s="2">
        <f t="shared" si="4"/>
        <v>70</v>
      </c>
      <c r="W13" s="2">
        <f t="shared" si="5"/>
        <v>71</v>
      </c>
    </row>
    <row r="14" spans="1:24" ht="20" customHeight="1" x14ac:dyDescent="0.2">
      <c r="A14" s="21">
        <v>13</v>
      </c>
      <c r="B14" s="30" t="s">
        <v>33</v>
      </c>
      <c r="C14" s="28">
        <v>1994</v>
      </c>
      <c r="D14" s="28">
        <v>2002</v>
      </c>
      <c r="F14" s="1">
        <v>976</v>
      </c>
      <c r="G14" s="1">
        <f>F14-327</f>
        <v>649</v>
      </c>
      <c r="H14" s="1">
        <v>0</v>
      </c>
      <c r="I14" s="1">
        <f t="shared" si="0"/>
        <v>649</v>
      </c>
      <c r="J14" s="1">
        <v>0</v>
      </c>
      <c r="K14" s="1">
        <v>649</v>
      </c>
      <c r="M14" s="2">
        <v>68</v>
      </c>
      <c r="N14" s="36">
        <f t="shared" si="1"/>
        <v>0.10477657935285054</v>
      </c>
      <c r="O14" s="38">
        <f t="shared" si="2"/>
        <v>581</v>
      </c>
      <c r="P14" s="2">
        <v>16</v>
      </c>
      <c r="Q14" s="2">
        <f t="shared" si="3"/>
        <v>565</v>
      </c>
      <c r="R14" s="2">
        <v>51</v>
      </c>
      <c r="S14" s="2">
        <v>13</v>
      </c>
      <c r="T14" s="2">
        <v>64</v>
      </c>
      <c r="U14" s="2">
        <v>501</v>
      </c>
      <c r="V14" s="2">
        <f t="shared" si="4"/>
        <v>501</v>
      </c>
      <c r="W14" s="2">
        <f t="shared" si="5"/>
        <v>649</v>
      </c>
    </row>
    <row r="15" spans="1:24" ht="20" customHeight="1" x14ac:dyDescent="0.2">
      <c r="A15" s="21">
        <v>14</v>
      </c>
      <c r="B15" s="30" t="s">
        <v>34</v>
      </c>
      <c r="C15" s="28">
        <v>1997</v>
      </c>
      <c r="D15" s="28">
        <v>2003</v>
      </c>
      <c r="F15" s="1">
        <v>142</v>
      </c>
      <c r="G15" s="1">
        <f t="shared" si="6"/>
        <v>142</v>
      </c>
      <c r="H15" s="1">
        <v>28</v>
      </c>
      <c r="I15" s="1">
        <f t="shared" si="0"/>
        <v>114</v>
      </c>
      <c r="J15" s="1">
        <v>0</v>
      </c>
      <c r="K15" s="1">
        <v>114</v>
      </c>
      <c r="M15" s="2">
        <v>21</v>
      </c>
      <c r="N15" s="36">
        <f t="shared" si="1"/>
        <v>0.18421052631578946</v>
      </c>
      <c r="O15" s="38">
        <f t="shared" si="2"/>
        <v>93</v>
      </c>
      <c r="P15" s="2">
        <v>29</v>
      </c>
      <c r="Q15" s="2">
        <f t="shared" si="3"/>
        <v>64</v>
      </c>
      <c r="R15" s="2">
        <v>12</v>
      </c>
      <c r="S15" s="2">
        <v>1</v>
      </c>
      <c r="T15" s="2">
        <v>13</v>
      </c>
      <c r="U15" s="2">
        <v>51</v>
      </c>
      <c r="V15" s="2">
        <f t="shared" si="4"/>
        <v>51</v>
      </c>
      <c r="W15" s="2">
        <f t="shared" si="5"/>
        <v>114</v>
      </c>
    </row>
    <row r="16" spans="1:24" ht="20" customHeight="1" x14ac:dyDescent="0.2">
      <c r="A16" s="21">
        <v>15</v>
      </c>
      <c r="B16" s="30" t="s">
        <v>35</v>
      </c>
      <c r="C16" s="28">
        <v>1990</v>
      </c>
      <c r="D16" s="28">
        <v>1995</v>
      </c>
      <c r="F16" s="1">
        <v>56</v>
      </c>
      <c r="G16" s="1">
        <f>F16-16</f>
        <v>40</v>
      </c>
      <c r="H16" s="1">
        <v>0</v>
      </c>
      <c r="I16" s="1">
        <f t="shared" si="0"/>
        <v>40</v>
      </c>
      <c r="J16" s="1">
        <v>0</v>
      </c>
      <c r="K16" s="1">
        <v>40</v>
      </c>
      <c r="M16" s="2">
        <v>3</v>
      </c>
      <c r="N16" s="36">
        <f t="shared" si="1"/>
        <v>7.4999999999999997E-2</v>
      </c>
      <c r="O16" s="38">
        <f t="shared" si="2"/>
        <v>37</v>
      </c>
      <c r="P16" s="2">
        <v>0</v>
      </c>
      <c r="Q16" s="2">
        <f t="shared" si="3"/>
        <v>37</v>
      </c>
      <c r="R16" s="2">
        <v>10</v>
      </c>
      <c r="S16" s="2">
        <v>0</v>
      </c>
      <c r="T16" s="2">
        <v>10</v>
      </c>
      <c r="U16" s="2">
        <v>27</v>
      </c>
      <c r="V16" s="2">
        <f t="shared" si="4"/>
        <v>27</v>
      </c>
      <c r="W16" s="2">
        <f t="shared" si="5"/>
        <v>40</v>
      </c>
    </row>
    <row r="17" spans="1:23" ht="20" customHeight="1" x14ac:dyDescent="0.2">
      <c r="A17" s="21">
        <v>16</v>
      </c>
      <c r="B17" s="30" t="s">
        <v>36</v>
      </c>
      <c r="C17" s="28">
        <v>1990</v>
      </c>
      <c r="D17" s="28">
        <v>2003</v>
      </c>
      <c r="F17" s="1">
        <v>108</v>
      </c>
      <c r="G17" s="1">
        <f>F17-3</f>
        <v>105</v>
      </c>
      <c r="H17" s="1">
        <v>0</v>
      </c>
      <c r="I17" s="1">
        <f t="shared" si="0"/>
        <v>105</v>
      </c>
      <c r="J17" s="1">
        <v>10</v>
      </c>
      <c r="K17" s="1">
        <v>95</v>
      </c>
      <c r="M17" s="2">
        <v>0</v>
      </c>
      <c r="N17" s="36">
        <f>M17/I17</f>
        <v>0</v>
      </c>
      <c r="O17" s="38">
        <f t="shared" si="2"/>
        <v>105</v>
      </c>
      <c r="P17" s="2">
        <v>17</v>
      </c>
      <c r="Q17" s="2">
        <f t="shared" si="3"/>
        <v>88</v>
      </c>
      <c r="R17" s="2" t="s">
        <v>39</v>
      </c>
      <c r="S17" s="2" t="s">
        <v>39</v>
      </c>
      <c r="T17" s="2">
        <v>5</v>
      </c>
      <c r="U17" s="2">
        <v>73</v>
      </c>
      <c r="V17" s="2">
        <f t="shared" si="4"/>
        <v>83</v>
      </c>
      <c r="W17" s="2">
        <f t="shared" si="5"/>
        <v>95</v>
      </c>
    </row>
    <row r="18" spans="1:23" ht="20" customHeight="1" x14ac:dyDescent="0.2">
      <c r="A18" s="21">
        <v>17</v>
      </c>
      <c r="B18" s="30" t="s">
        <v>37</v>
      </c>
      <c r="C18" s="27">
        <v>1992</v>
      </c>
      <c r="D18" s="27" t="s">
        <v>39</v>
      </c>
      <c r="F18" s="1">
        <v>318</v>
      </c>
      <c r="G18" s="1">
        <f t="shared" si="6"/>
        <v>318</v>
      </c>
      <c r="H18" s="1">
        <v>0</v>
      </c>
      <c r="I18" s="1">
        <f t="shared" si="0"/>
        <v>318</v>
      </c>
      <c r="J18" s="1">
        <v>0</v>
      </c>
      <c r="K18" s="1">
        <v>318</v>
      </c>
      <c r="M18" s="2">
        <v>92</v>
      </c>
      <c r="N18" s="36">
        <f t="shared" si="1"/>
        <v>0.28930817610062892</v>
      </c>
      <c r="O18" s="38">
        <f t="shared" si="2"/>
        <v>226</v>
      </c>
      <c r="P18" s="2">
        <v>0</v>
      </c>
      <c r="Q18" s="2">
        <f t="shared" si="3"/>
        <v>226</v>
      </c>
      <c r="R18" s="2" t="s">
        <v>39</v>
      </c>
      <c r="S18" s="2" t="s">
        <v>39</v>
      </c>
      <c r="T18" s="2">
        <v>0</v>
      </c>
      <c r="U18" s="2">
        <v>226</v>
      </c>
      <c r="V18" s="2">
        <f t="shared" si="4"/>
        <v>226</v>
      </c>
      <c r="W18" s="2">
        <f t="shared" si="5"/>
        <v>318</v>
      </c>
    </row>
    <row r="19" spans="1:23" ht="38" customHeight="1" thickBot="1" x14ac:dyDescent="0.25">
      <c r="A19" s="21">
        <v>18</v>
      </c>
      <c r="B19" s="30" t="s">
        <v>38</v>
      </c>
      <c r="C19" s="28">
        <v>1988</v>
      </c>
      <c r="D19" s="28">
        <v>2006</v>
      </c>
      <c r="F19" s="1">
        <f>531+1167</f>
        <v>1698</v>
      </c>
      <c r="G19" s="1">
        <f>F19-1167</f>
        <v>531</v>
      </c>
      <c r="H19" s="1">
        <v>5</v>
      </c>
      <c r="I19" s="1">
        <f t="shared" si="0"/>
        <v>526</v>
      </c>
      <c r="J19" s="1">
        <v>0</v>
      </c>
      <c r="K19" s="1">
        <v>526</v>
      </c>
      <c r="M19" s="2">
        <v>16</v>
      </c>
      <c r="N19" s="36">
        <f t="shared" si="1"/>
        <v>3.0418250950570342E-2</v>
      </c>
      <c r="O19" s="2">
        <f t="shared" si="2"/>
        <v>510</v>
      </c>
      <c r="P19" s="2">
        <v>2</v>
      </c>
      <c r="Q19" s="2">
        <f t="shared" si="3"/>
        <v>508</v>
      </c>
      <c r="R19" s="2" t="s">
        <v>39</v>
      </c>
      <c r="S19" s="2" t="s">
        <v>39</v>
      </c>
      <c r="T19" s="2">
        <v>57</v>
      </c>
      <c r="U19" s="2">
        <v>451</v>
      </c>
      <c r="V19" s="2">
        <f t="shared" si="4"/>
        <v>451</v>
      </c>
      <c r="W19" s="2">
        <f t="shared" si="5"/>
        <v>526</v>
      </c>
    </row>
    <row r="20" spans="1:23" ht="38" customHeight="1" thickBot="1" x14ac:dyDescent="0.25">
      <c r="B20" s="31"/>
      <c r="D20" s="41" t="s">
        <v>47</v>
      </c>
      <c r="E20" s="41"/>
      <c r="F20" s="35">
        <f t="shared" ref="F20:K20" si="7">SUM(F4:F19)</f>
        <v>6903</v>
      </c>
      <c r="G20" s="35">
        <f t="shared" si="7"/>
        <v>4913</v>
      </c>
      <c r="H20" s="35">
        <f t="shared" si="7"/>
        <v>350</v>
      </c>
      <c r="I20" s="35">
        <f t="shared" si="7"/>
        <v>4563</v>
      </c>
      <c r="J20" s="35">
        <f t="shared" si="7"/>
        <v>169</v>
      </c>
      <c r="K20" s="35">
        <f t="shared" si="7"/>
        <v>4394</v>
      </c>
      <c r="M20" s="34">
        <f>SUM(M4:M19)</f>
        <v>658</v>
      </c>
      <c r="N20" s="37">
        <f>AVERAGE(N4:N19)</f>
        <v>0.10637857890445884</v>
      </c>
      <c r="O20" s="34">
        <f>SUM(O4:O19)</f>
        <v>3905</v>
      </c>
      <c r="P20" s="34">
        <f t="shared" ref="P20:W20" si="8">SUM(P4:P19)</f>
        <v>228</v>
      </c>
      <c r="Q20" s="34">
        <f>SUM(Q4:Q19)</f>
        <v>3677</v>
      </c>
      <c r="R20" s="34">
        <f t="shared" si="8"/>
        <v>243</v>
      </c>
      <c r="S20" s="34">
        <f t="shared" si="8"/>
        <v>63</v>
      </c>
      <c r="T20" s="34">
        <f t="shared" si="8"/>
        <v>388</v>
      </c>
      <c r="U20" s="34">
        <f t="shared" si="8"/>
        <v>3120</v>
      </c>
      <c r="V20" s="34">
        <f t="shared" si="8"/>
        <v>3289</v>
      </c>
      <c r="W20" s="34">
        <f t="shared" si="8"/>
        <v>4394</v>
      </c>
    </row>
    <row r="21" spans="1:23" ht="20" customHeight="1" x14ac:dyDescent="0.2">
      <c r="A21" s="2"/>
      <c r="B21" s="4"/>
      <c r="C21" s="4"/>
      <c r="D21" s="4"/>
      <c r="G21" s="34" t="s">
        <v>42</v>
      </c>
      <c r="H21" s="2">
        <f>G20-H20</f>
        <v>4563</v>
      </c>
      <c r="I21" s="2"/>
      <c r="J21" s="34" t="s">
        <v>42</v>
      </c>
      <c r="K21" s="2">
        <f>J20+K20</f>
        <v>4563</v>
      </c>
    </row>
    <row r="22" spans="1:23" ht="20" customHeight="1" x14ac:dyDescent="0.2">
      <c r="A22" s="2"/>
      <c r="B22" s="4"/>
      <c r="C22" s="4"/>
      <c r="D22" s="4"/>
      <c r="F22" s="2"/>
      <c r="G22" s="2"/>
      <c r="H22" s="2"/>
      <c r="I22" s="2"/>
      <c r="J22" s="2"/>
    </row>
    <row r="23" spans="1:23" ht="20" customHeight="1" thickBot="1" x14ac:dyDescent="0.25">
      <c r="A23" s="2"/>
      <c r="B23" s="4"/>
      <c r="C23" s="4"/>
      <c r="D23" s="4"/>
      <c r="F23" s="2"/>
      <c r="G23" s="2"/>
      <c r="H23" s="2"/>
      <c r="I23" s="2"/>
      <c r="J23" s="2"/>
    </row>
    <row r="24" spans="1:23" ht="34" customHeight="1" x14ac:dyDescent="0.2">
      <c r="K24" s="41" t="s">
        <v>50</v>
      </c>
      <c r="L24" s="41"/>
      <c r="M24" s="39">
        <f>M20/$I$20</f>
        <v>0.14420337497260574</v>
      </c>
      <c r="O24" s="36">
        <f>O20/$I$20</f>
        <v>0.85579662502739429</v>
      </c>
      <c r="P24" s="36">
        <f>P20/$I$20</f>
        <v>4.9967126890203814E-2</v>
      </c>
      <c r="Q24" s="36">
        <f>Q20/$I$20</f>
        <v>0.8058294981371904</v>
      </c>
      <c r="T24" s="36">
        <f>T20/$I$20</f>
        <v>8.503177733946965E-2</v>
      </c>
      <c r="U24" s="36">
        <f>U20/$I$20</f>
        <v>0.68376068376068377</v>
      </c>
      <c r="V24" s="36">
        <f>V20/$I$20</f>
        <v>0.72079772079772075</v>
      </c>
    </row>
    <row r="25" spans="1:23" ht="20" customHeight="1" thickBot="1" x14ac:dyDescent="0.25"/>
    <row r="26" spans="1:23" ht="20" customHeight="1" x14ac:dyDescent="0.2">
      <c r="P26" s="41" t="s">
        <v>51</v>
      </c>
      <c r="Q26" s="41"/>
      <c r="T26" s="39">
        <f>T20/$Q$20</f>
        <v>0.10552080500407941</v>
      </c>
      <c r="U26" s="36">
        <f>U20/$Q$20</f>
        <v>0.84851781343486543</v>
      </c>
      <c r="V26" s="36">
        <f>V20/$Q$20</f>
        <v>0.89447919499592055</v>
      </c>
    </row>
    <row r="53" spans="2:22" s="1" customFormat="1" ht="20" customHeight="1" x14ac:dyDescent="0.2">
      <c r="B53" s="3"/>
      <c r="C53" s="3"/>
      <c r="D53" s="3"/>
      <c r="E53"/>
      <c r="L53" s="2"/>
      <c r="M53" s="2"/>
      <c r="N53" s="2"/>
      <c r="O53" s="2"/>
      <c r="P53" s="2"/>
      <c r="Q53" s="2"/>
      <c r="R53" s="2"/>
      <c r="S53" s="2"/>
      <c r="T53" s="2"/>
      <c r="U53" s="2"/>
      <c r="V53" s="2"/>
    </row>
  </sheetData>
  <dataConsolidate/>
  <mergeCells count="5">
    <mergeCell ref="K24:L24"/>
    <mergeCell ref="P26:Q26"/>
    <mergeCell ref="F2:K2"/>
    <mergeCell ref="M2:X2"/>
    <mergeCell ref="D20:E20"/>
  </mergeCells>
  <phoneticPr fontId="7" type="noConversion"/>
  <hyperlinks>
    <hyperlink ref="B1" r:id="rId1" xr:uid="{81085E85-D656-A34F-9A4C-ADD84AA5DE96}"/>
    <hyperlink ref="A4" r:id="rId2" display="https://doi.org/10.1371/journal.pone.0003081.g003" xr:uid="{AD67C97E-535D-A345-950F-D025BEAF0CB4}"/>
    <hyperlink ref="A5" r:id="rId3" display="https://doi.org/10.1371/journal.pone.0003081.g004" xr:uid="{CE436031-2C36-D04D-9206-D7C5C4E794CD}"/>
    <hyperlink ref="A6" r:id="rId4" display="https://doi.org/10.1371/journal.pone.0003081.g005" xr:uid="{25F6166E-51D8-9D4A-BAA5-21942813DA4B}"/>
    <hyperlink ref="A7" r:id="rId5" display="https://doi.org/10.1371/journal.pone.0003081.g006" xr:uid="{885C1661-B5D1-1443-8563-D0D5AD4958DC}"/>
    <hyperlink ref="A8" r:id="rId6" display="https://doi.org/10.1371/journal.pone.0003081.g007" xr:uid="{8B2030D2-D5E6-2642-A437-D4F23D6AEA33}"/>
    <hyperlink ref="A9" r:id="rId7" display="https://doi.org/10.1371/journal.pone.0003081.g008" xr:uid="{6FA3DB4A-87CB-0C4A-B26E-1F49E1CA25BD}"/>
    <hyperlink ref="A10" r:id="rId8" display="https://doi.org/10.1371/journal.pone.0003081.g009" xr:uid="{D531658B-DF08-B647-8120-EE149B36D158}"/>
    <hyperlink ref="A11" r:id="rId9" display="https://doi.org/10.1371/journal.pone.0003081.g010" xr:uid="{098FF1AB-FB22-CC43-8E00-C2D37EF7C6AE}"/>
    <hyperlink ref="A12" r:id="rId10" display="https://doi.org/10.1371/journal.pone.0003081.g011" xr:uid="{DA035BFA-02AE-2647-81DD-431B08F9B5AD}"/>
    <hyperlink ref="A13" r:id="rId11" display="https://doi.org/10.1371/journal.pone.0003081.g012" xr:uid="{22CA9C33-A844-B745-A6B0-151641E71AAB}"/>
    <hyperlink ref="A14" r:id="rId12" display="https://doi.org/10.1371/journal.pone.0003081.g013" xr:uid="{A28E8092-4190-F144-A5DD-480B938C4009}"/>
    <hyperlink ref="A15" r:id="rId13" display="https://doi.org/10.1371/journal.pone.0003081.g014" xr:uid="{8AC4C124-939D-1045-8EAC-7959ABAF72B7}"/>
    <hyperlink ref="A16" r:id="rId14" display="https://doi.org/10.1371/journal.pone.0003081.g015" xr:uid="{9F6BF205-17F8-0448-9E32-E8D865A6F3D8}"/>
    <hyperlink ref="A17" r:id="rId15" display="https://doi.org/10.1371/journal.pone.0003081.g016" xr:uid="{135FB8CB-03DC-684F-BB5C-6F716B876C8A}"/>
    <hyperlink ref="A18" r:id="rId16" display="https://doi.org/10.1371/journal.pone.0003081.g017" xr:uid="{F0F0B664-F94A-AC4D-8797-0EA4F633BBF8}"/>
    <hyperlink ref="A19" r:id="rId17" display="https://doi.org/10.1371/journal.pone.0003081.g018" xr:uid="{C67FD073-C865-534D-893B-AFFFDCE80853}"/>
    <hyperlink ref="B4" r:id="rId18" xr:uid="{ED69FD9A-CB79-6A4B-A61C-4FFECE11228C}"/>
    <hyperlink ref="B5" r:id="rId19" xr:uid="{AA432ADF-8C17-3B4E-8AB7-A78A270AB768}"/>
    <hyperlink ref="B16" r:id="rId20" xr:uid="{59B701A8-7969-8646-84FD-ABEC7A98DAD9}"/>
    <hyperlink ref="B6" r:id="rId21" xr:uid="{30963201-E85A-EB40-B853-79334A4E494D}"/>
    <hyperlink ref="B7" r:id="rId22" xr:uid="{5A870347-AE34-8545-91EF-AB8C062D28E9}"/>
    <hyperlink ref="B8" r:id="rId23" xr:uid="{F15A740D-5A2C-B54E-AED0-C0B924FC0C90}"/>
    <hyperlink ref="B11" r:id="rId24" xr:uid="{9B0FAE16-3DA7-1F45-96D7-3267152B77C9}"/>
    <hyperlink ref="B17" r:id="rId25" xr:uid="{2D89F383-CB23-ED4C-BAFC-C8DB692653C6}"/>
    <hyperlink ref="B18" r:id="rId26" xr:uid="{3358A196-1492-DC4F-B69D-CB46A626D4D4}"/>
    <hyperlink ref="B19" r:id="rId27" xr:uid="{2F4DCD46-F913-BC4B-A753-3A38A53E4312}"/>
    <hyperlink ref="B12" r:id="rId28" xr:uid="{6AB39B19-3B7E-7745-AD2B-632CA3035DA0}"/>
    <hyperlink ref="B14" r:id="rId29" xr:uid="{99DEC267-5D2A-C743-AF0A-ECE2998A516A}"/>
    <hyperlink ref="B15" r:id="rId30" xr:uid="{C84D9569-F146-0244-804D-1820C5DCCE47}"/>
    <hyperlink ref="B13" r:id="rId31" xr:uid="{B3594D7B-CE63-D24A-A06C-E3366150D3E9}"/>
    <hyperlink ref="B9" r:id="rId32" xr:uid="{B8CC90A5-7A80-0F4D-9506-DD10958A9219}"/>
  </hyperlinks>
  <pageMargins left="0.75" right="0.75" top="1" bottom="1" header="0.5" footer="0.5"/>
  <pageSetup orientation="landscape" horizontalDpi="4294967292" verticalDpi="4294967292"/>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Readme</vt:lpstr>
      <vt:lpstr>Results of metastudies</vt:lpstr>
    </vt:vector>
  </TitlesOfParts>
  <Company>Econscribe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Pascal  Michaillat</dc:creator>
  <cp:lastModifiedBy>Pascal Michaillat</cp:lastModifiedBy>
  <cp:lastPrinted>2018-05-29T20:48:59Z</cp:lastPrinted>
  <dcterms:created xsi:type="dcterms:W3CDTF">2014-05-05T20:53:22Z</dcterms:created>
  <dcterms:modified xsi:type="dcterms:W3CDTF">2022-01-03T03:19:10Z</dcterms:modified>
</cp:coreProperties>
</file>